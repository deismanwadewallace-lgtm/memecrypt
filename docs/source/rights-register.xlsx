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9603f8c16c4f49" /></Relationships>
</file>

<file path=xl/workbook.xml><?xml version="1.0" encoding="utf-8"?>
<x:workbook xmlns:x="http://schemas.openxmlformats.org/spreadsheetml/2006/main">
  <x:sheets>
    <x:sheet xmlns:r="http://schemas.openxmlformats.org/officeDocument/2006/relationships" name="Register" sheetId="1" r:id="Rfc4d4f6355a043a0"/>
    <x:sheet xmlns:r="http://schemas.openxmlformats.org/officeDocument/2006/relationships" name="Tier key" sheetId="2" r:id="Ra98a14e5ff8341e1"/>
    <x:sheet xmlns:r="http://schemas.openxmlformats.org/officeDocument/2006/relationships" name="Summary" sheetId="3" r:id="R9fb7ca02182540fd"/>
  </x:sheets>
</x:workbook>
</file>

<file path=xl/sharedStrings.xml><?xml version="1.0" encoding="utf-8"?>
<x:sst xmlns:x="http://schemas.openxmlformats.org/spreadsheetml/2006/main">
  <x:si>
    <x:t xml:space="preserve">ID</x:t>
  </x:si>
  <x:si>
    <x:t xml:space="preserve">Specimen</x:t>
  </x:si>
  <x:si>
    <x:t xml:space="preserve">First circulation</x:t>
  </x:si>
  <x:si>
    <x:t xml:space="preserve">Underlying work</x:t>
  </x:si>
  <x:si>
    <x:t xml:space="preserve">Rights holder / claimant</x:t>
  </x:si>
  <x:si>
    <x:t xml:space="preserve">Enforcement history</x:t>
  </x:si>
  <x:si>
    <x:t xml:space="preserve">Evidence grade</x:t>
  </x:si>
  <x:si>
    <x:t xml:space="preserve">Identifiable person</x:t>
  </x:si>
  <x:si>
    <x:t xml:space="preserve">Minor in image</x:t>
  </x:si>
  <x:si>
    <x:t xml:space="preserve">Display tier</x:t>
  </x:si>
  <x:si>
    <x:t xml:space="preserve">Merch posture</x:t>
  </x:si>
  <x:si>
    <x:t xml:space="preserve">Curatorial note</x:t>
  </x:si>
  <x:si>
    <x:t xml:space="preserve">Source</x:t>
  </x:si>
  <x:si>
    <x:t xml:space="preserve">M01</x:t>
  </x:si>
  <x:si>
    <x:t xml:space="preserve">Doge</x:t>
  </x:si>
  <x:si>
    <x:t xml:space="preserve">2010 photo, 2013 meme</x:t>
  </x:si>
  <x:si>
    <x:t xml:space="preserve">Photograph of a dog</x:t>
  </x:si>
  <x:si>
    <x:t xml:space="preserve">Atsuko Sato (photographer, Japan)</x:t>
  </x:si>
  <x:si>
    <x:t xml:space="preserve">No litigation found. Owner has licensed commercially and participated in charitable and crypto-adjacent ventures.</x:t>
  </x:si>
  <x:si>
    <x:t xml:space="preserve">Unverified this pass</x:t>
  </x:si>
  <x:si>
    <x:t xml:space="preserve">No</x:t>
  </x:si>
  <x:si>
    <x:t xml:space="preserve">D2</x:t>
  </x:si>
  <x:si>
    <x:t xml:space="preserve">Licence only</x:t>
  </x:si>
  <x:si>
    <x:t xml:space="preserve">Photograph, not a public-domain image. Japanese author, so Berne applies but enforcement posture is unclear. Ask before displaying at full resolution.</x:t>
  </x:si>
  <x:si>
    <x:t xml:space="preserve">Not verified this pass</x:t>
  </x:si>
  <x:si>
    <x:t xml:space="preserve">M02</x:t>
  </x:si>
  <x:si>
    <x:t xml:space="preserve">Grumpy Cat</x:t>
  </x:si>
  <x:si>
    <x:t xml:space="preserve">2012</x:t>
  </x:si>
  <x:si>
    <x:t xml:space="preserve">Photograph of a cat, plus registered marks</x:t>
  </x:si>
  <x:si>
    <x:t xml:space="preserve">Grumpy Cat Limited (Tabatha Bundesen)</x:t>
  </x:si>
  <x:si>
    <x:t xml:space="preserve">Jury verdict January 2018 totalling $710,001: $230,000 statutory copyright, $480,000 statutory trademark, $1 contract. Infringing goods were coffee and t-shirts.</x:t>
  </x:si>
  <x:si>
    <x:t xml:space="preserve">Verified</x:t>
  </x:si>
  <x:si>
    <x:t xml:space="preserve">Never pursue</x:t>
  </x:si>
  <x:si>
    <x:t xml:space="preserve">The clearest merch precedent in the whole register. The defendant even had a licence and still lost by exceeding it. Cite this case in the exhibit text.</x:t>
  </x:si>
  <x:si>
    <x:t xml:space="preserve">https://www.cll.com/newsroom-news-172572</x:t>
  </x:si>
  <x:si>
    <x:t xml:space="preserve">M03</x:t>
  </x:si>
  <x:si>
    <x:t xml:space="preserve">Success Kid</x:t>
  </x:si>
  <x:si>
    <x:t xml:space="preserve">2007 photo, 2008 meme</x:t>
  </x:si>
  <x:si>
    <x:t xml:space="preserve">Photograph of an infant</x:t>
  </x:si>
  <x:si>
    <x:t xml:space="preserve">Laney Griner (registered copyright 2012)</x:t>
  </x:si>
  <x:si>
    <x:t xml:space="preserve">Griner v. King for Congress. Jury found infringement, awarded $750 statutory minimum. Eighth Circuit affirmed June 2024, rejecting fair use under Warhol. Supreme Court denied certiorari January 2025.</x:t>
  </x:si>
  <x:si>
    <x:t xml:space="preserve">Yes</x:t>
  </x:si>
  <x:si>
    <x:t xml:space="preserve">Yes (11 months at time of photo)</x:t>
  </x:si>
  <x:si>
    <x:t xml:space="preserve">Owner licenses to major brands and has said she objects to commercial use she has not approved. Subject was an infant, so likeness rights sit alongside copyright.</x:t>
  </x:si>
  <x:si>
    <x:t xml:space="preserve">https://law.justia.com/cases/federal/appellate-courts/ca8/23-2117/23-2117-2024-06-07.html</x:t>
  </x:si>
  <x:si>
    <x:t xml:space="preserve">M04</x:t>
  </x:si>
  <x:si>
    <x:t xml:space="preserve">Pepe the Frog</x:t>
  </x:si>
  <x:si>
    <x:t xml:space="preserve">2005 comic, 2015-16 meme</x:t>
  </x:si>
  <x:si>
    <x:t xml:space="preserve">Original cartoon character</x:t>
  </x:si>
  <x:si>
    <x:t xml:space="preserve">Matt Furie</x:t>
  </x:si>
  <x:si>
    <x:t xml:space="preserve">Sustained enforcement campaign from 2017. Stopped a self-published book, and forced withdrawals by AltRight.com, Arktos, r/The_Donald and The Daily Stormer. Furie v. Infowars settled June 2019 for $15,000 plus an agreement to stop selling and destroy stock. The court expressly refused to hold that meme-ification diminishes the author's copyright.</x:t>
  </x:si>
  <x:si>
    <x:t xml:space="preserve">D3</x:t>
  </x:si>
  <x:si>
    <x:t xml:space="preserve">Two hazards, not one. Active author enforcement, plus ADL hate-symbol listing that carries reputational risk for a museum. Treat as placeholder-only.</x:t>
  </x:si>
  <x:si>
    <x:t xml:space="preserve">https://www.copyright.gov/fair-use/summaries/furie-infowars-cdcal2019.pdf</x:t>
  </x:si>
  <x:si>
    <x:t xml:space="preserve">M05</x:t>
  </x:si>
  <x:si>
    <x:t xml:space="preserve">Nyan Cat</x:t>
  </x:si>
  <x:si>
    <x:t xml:space="preserve">2011</x:t>
  </x:si>
  <x:si>
    <x:t xml:space="preserve">Original animated GIF</x:t>
  </x:si>
  <x:si>
    <x:t xml:space="preserve">Christopher Torres (copyright registered 2011)</x:t>
  </x:si>
  <x:si>
    <x:t xml:space="preserve">Joint suit with Keyboard Cat against Warner Bros. and 5th Cell filed April 2013 over Scribblenauts. Settled October 2013 on undisclosed terms, with Warner Bros. subsequently taking a licence.</x:t>
  </x:si>
  <x:si>
    <x:t xml:space="preserve">Owner is reachable, has licensed before, and has an established price. A realistic candidate if you ever pursue an anchor licence.</x:t>
  </x:si>
  <x:si>
    <x:t xml:space="preserve">https://www.spokesman.com/stories/2013/oct/01/keyboard-cat-wins-settlement-maker-game-scribblena/</x:t>
  </x:si>
  <x:si>
    <x:t xml:space="preserve">M06</x:t>
  </x:si>
  <x:si>
    <x:t xml:space="preserve">Keyboard Cat</x:t>
  </x:si>
  <x:si>
    <x:t xml:space="preserve">1984 footage, 2007 upload</x:t>
  </x:si>
  <x:si>
    <x:t xml:space="preserve">Video of a cat</x:t>
  </x:si>
  <x:si>
    <x:t xml:space="preserve">Charles Schmidt (copyright registered 2010)</x:t>
  </x:si>
  <x:si>
    <x:t xml:space="preserve">Co-plaintiff in the 2013 Scribblenauts suit. Settled October 2013, terms undisclosed.</x:t>
  </x:si>
  <x:si>
    <x:t xml:space="preserve">Same posture as Nyan Cat. Note the underlying footage predates the internet by two decades, which is itself a good wall label.</x:t>
  </x:si>
  <x:si>
    <x:t xml:space="preserve">M07</x:t>
  </x:si>
  <x:si>
    <x:t xml:space="preserve">Distracted Boyfriend</x:t>
  </x:si>
  <x:si>
    <x:t xml:space="preserve">2015 photo, 2017 meme</x:t>
  </x:si>
  <x:si>
    <x:t xml:space="preserve">Licensed stock photograph</x:t>
  </x:si>
  <x:si>
    <x:t xml:space="preserve">Antonio Guillem, via stock agencies</x:t>
  </x:si>
  <x:si>
    <x:t xml:space="preserve">Reported enforcement through agency channels. No reported judgment.</x:t>
  </x:si>
  <x:si>
    <x:t xml:space="preserve">Yes (three models)</x:t>
  </x:si>
  <x:si>
    <x:t xml:space="preserve">Highest-risk category in the register. Stock agencies run automated image matching and treat invoicing as a revenue line, so exposure is largely independent of whether you would win.</x:t>
  </x:si>
  <x:si>
    <x:t xml:space="preserve">M08</x:t>
  </x:si>
  <x:si>
    <x:t xml:space="preserve">Disaster Girl</x:t>
  </x:si>
  <x:si>
    <x:t xml:space="preserve">2005 photo, 2008 meme</x:t>
  </x:si>
  <x:si>
    <x:t xml:space="preserve">Photograph of a child</x:t>
  </x:si>
  <x:si>
    <x:t xml:space="preserve">Zoe Roth and her father, the photographer</x:t>
  </x:si>
  <x:si>
    <x:t xml:space="preserve">No litigation found. Subject sold an NFT of the image in 2021 and retained the copyright.</x:t>
  </x:si>
  <x:si>
    <x:t xml:space="preserve">Reported, not verified this pass</x:t>
  </x:si>
  <x:si>
    <x:t xml:space="preserve">Yes (four at time of photo)</x:t>
  </x:si>
  <x:si>
    <x:t xml:space="preserve">The owner has demonstrated the image has six-figure commercial value, which destroys any market-effect argument you might otherwise make.</x:t>
  </x:si>
  <x:si>
    <x:t xml:space="preserve">M09</x:t>
  </x:si>
  <x:si>
    <x:t xml:space="preserve">Overly Attached Girlfriend</x:t>
  </x:si>
  <x:si>
    <x:t xml:space="preserve">Video still, self-produced</x:t>
  </x:si>
  <x:si>
    <x:t xml:space="preserve">Laina Morris</x:t>
  </x:si>
  <x:si>
    <x:t xml:space="preserve">No litigation found. Subject sold an NFT in 2021.</x:t>
  </x:si>
  <x:si>
    <x:t xml:space="preserve">Self-produced, so the subject is also the author. Cleanest chain of title of any identifiable-person meme here, and therefore the easiest to licence if you ever wanted to.</x:t>
  </x:si>
  <x:si>
    <x:t xml:space="preserve">M10</x:t>
  </x:si>
  <x:si>
    <x:t xml:space="preserve">Bad Luck Brian</x:t>
  </x:si>
  <x:si>
    <x:t xml:space="preserve">School photograph</x:t>
  </x:si>
  <x:si>
    <x:t xml:space="preserve">Kyle Craven, with the photographer's interest unclear</x:t>
  </x:si>
  <x:si>
    <x:t xml:space="preserve">Yes (teenager)</x:t>
  </x:si>
  <x:si>
    <x:t xml:space="preserve">Chain of title is genuinely murky. School portrait copyright often sits with the studio, not the family. Do not assume the subject can licence it.</x:t>
  </x:si>
  <x:si>
    <x:t xml:space="preserve">M11</x:t>
  </x:si>
  <x:si>
    <x:t xml:space="preserve">Socially Awkward Penguin</x:t>
  </x:si>
  <x:si>
    <x:t xml:space="preserve">2009</x:t>
  </x:si>
  <x:si>
    <x:t xml:space="preserve">Wildlife photograph</x:t>
  </x:si>
  <x:si>
    <x:t xml:space="preserve">Getty Images, on behalf of the original publisher</x:t>
  </x:si>
  <x:si>
    <x:t xml:space="preserve">Reported licensing demands issued to European sellers in the 2010s.</x:t>
  </x:si>
  <x:si>
    <x:t xml:space="preserve">Agency-held, and the agency has a documented practice of chasing small European resellers. Treat like stock.</x:t>
  </x:si>
  <x:si>
    <x:t xml:space="preserve">M12</x:t>
  </x:si>
  <x:si>
    <x:t xml:space="preserve">Hide the Pain Harold</x:t>
  </x:si>
  <x:si>
    <x:t xml:space="preserve">Stock photograph of a model</x:t>
  </x:si>
  <x:si>
    <x:t xml:space="preserve">Photographer and agency, with the model now commercially active</x:t>
  </x:si>
  <x:si>
    <x:t xml:space="preserve">No litigation found. The subject now works with a licensing agent and takes paid commercial engagements.</x:t>
  </x:si>
  <x:si>
    <x:t xml:space="preserve">Unusual case. The subject has monetised the meme himself and is publicly reachable, but the photographic copyright sits elsewhere. Two permissions needed, not one.</x:t>
  </x:si>
  <x:si>
    <x:t xml:space="preserve">M13</x:t>
  </x:si>
  <x:si>
    <x:t xml:space="preserve">Trollface</x:t>
  </x:si>
  <x:si>
    <x:t xml:space="preserve">2008</x:t>
  </x:si>
  <x:si>
    <x:t xml:space="preserve">Original drawing</x:t>
  </x:si>
  <x:si>
    <x:t xml:space="preserve">Carlos Ramirez</x:t>
  </x:si>
  <x:si>
    <x:t xml:space="preserve">Copyright registered. Reported licensing income and takedown activity.</x:t>
  </x:si>
  <x:si>
    <x:t xml:space="preserve">Frequently assumed to be public domain because it looks like clip art. It is not. Good candidate for a wall label about the folk-art fallacy.</x:t>
  </x:si>
  <x:si>
    <x:t xml:space="preserve">M14</x:t>
  </x:si>
  <x:si>
    <x:t xml:space="preserve">This Is Fine</x:t>
  </x:si>
  <x:si>
    <x:t xml:space="preserve">2013</x:t>
  </x:si>
  <x:si>
    <x:t xml:space="preserve">Webcomic panels</x:t>
  </x:si>
  <x:si>
    <x:t xml:space="preserve">KC Green</x:t>
  </x:si>
  <x:si>
    <x:t xml:space="preserve">No litigation found. The author sells his own merchandise from the same panels.</x:t>
  </x:si>
  <x:si>
    <x:t xml:space="preserve">The author's own shop is the market you would be competing with. Market-effect factor fails immediately. Display with attribution and a link to his store.</x:t>
  </x:si>
  <x:si>
    <x:t xml:space="preserve">M15</x:t>
  </x:si>
  <x:si>
    <x:t xml:space="preserve">Woman Yelling at a Cat</x:t>
  </x:si>
  <x:si>
    <x:t xml:space="preserve">2019</x:t>
  </x:si>
  <x:si>
    <x:t xml:space="preserve">Composite: television still plus a photograph</x:t>
  </x:si>
  <x:si>
    <x:t xml:space="preserve">Broadcaster for the still, a private owner for the cat photograph</x:t>
  </x:si>
  <x:si>
    <x:t xml:space="preserve">No litigation found.</x:t>
  </x:si>
  <x:si>
    <x:t xml:space="preserve">Two separate rights holders in one image, one of them a media conglomerate. Composites multiply risk rather than diluting it. Useful teaching point for the exhibit.</x:t>
  </x:si>
  <x:si>
    <x:t xml:space="preserve">M16</x:t>
  </x:si>
  <x:si>
    <x:t xml:space="preserve">Drakeposting</x:t>
  </x:si>
  <x:si>
    <x:t xml:space="preserve">2015</x:t>
  </x:si>
  <x:si>
    <x:t xml:space="preserve">Music video stills</x:t>
  </x:si>
  <x:si>
    <x:t xml:space="preserve">Major label and the artist</x:t>
  </x:si>
  <x:si>
    <x:t xml:space="preserve">No litigation found specific to the meme.</x:t>
  </x:si>
  <x:si>
    <x:t xml:space="preserve">Label-owned audiovisual work featuring a litigious rights environment. Nothing about the meme's ubiquity changes the ownership.</x:t>
  </x:si>
  <x:si>
    <x:t xml:space="preserve">M17</x:t>
  </x:si>
  <x:si>
    <x:t xml:space="preserve">Salt Bae</x:t>
  </x:si>
  <x:si>
    <x:t xml:space="preserve">2017</x:t>
  </x:si>
  <x:si>
    <x:t xml:space="preserve">Self-produced video, plus registered marks</x:t>
  </x:si>
  <x:si>
    <x:t xml:space="preserve">Nusret Gokce</x:t>
  </x:si>
  <x:si>
    <x:t xml:space="preserve">Trademark portfolio reported across multiple jurisdictions.</x:t>
  </x:si>
  <x:si>
    <x:t xml:space="preserve">Trademark rather than copyright is the operative risk. The gesture is a brand asset attached to a restaurant business.</x:t>
  </x:si>
  <x:si>
    <x:t xml:space="preserve">M18</x:t>
  </x:si>
  <x:si>
    <x:t xml:space="preserve">Ermahgerd</x:t>
  </x:si>
  <x:si>
    <x:t xml:space="preserve">Photograph of a child, taken by a friend</x:t>
  </x:si>
  <x:si>
    <x:t xml:space="preserve">The photographer, with the subject holding likeness interests</x:t>
  </x:si>
  <x:si>
    <x:t xml:space="preserve">No litigation found. Subject has spoken publicly about not controlling the image.</x:t>
  </x:si>
  <x:si>
    <x:t xml:space="preserve">The subject has said she was never asked and never paid. That is the exhibit label, and it argues against displaying it commercially.</x:t>
  </x:si>
  <x:si>
    <x:t xml:space="preserve">M19</x:t>
  </x:si>
  <x:si>
    <x:t xml:space="preserve">Rickroll</x:t>
  </x:si>
  <x:si>
    <x:t xml:space="preserve">2007</x:t>
  </x:si>
  <x:si>
    <x:t xml:space="preserve">Commercial music video</x:t>
  </x:si>
  <x:si>
    <x:t xml:space="preserve">Major label</x:t>
  </x:si>
  <x:si>
    <x:t xml:space="preserve">Video has been subject to platform takedowns and re-uploads over the years.</x:t>
  </x:si>
  <x:si>
    <x:t xml:space="preserve">Straightforward label-owned audiovisual work. Reference by name only.</x:t>
  </x:si>
  <x:si>
    <x:t xml:space="preserve">M20</x:t>
  </x:si>
  <x:si>
    <x:t xml:space="preserve">Wojak / Feels Guy</x:t>
  </x:si>
  <x:si>
    <x:t xml:space="preserve">2010</x:t>
  </x:si>
  <x:si>
    <x:t xml:space="preserve">Anonymous user drawing</x:t>
  </x:si>
  <x:si>
    <x:t xml:space="preserve">No established owner</x:t>
  </x:si>
  <x:si>
    <x:t xml:space="preserve">None found.</x:t>
  </x:si>
  <x:si>
    <x:t xml:space="preserve">D1</x:t>
  </x:si>
  <x:si>
    <x:t xml:space="preserve">Original redraw only</x:t>
  </x:si>
  <x:si>
    <x:t xml:space="preserve">Orphan work in practice. Absence of a claimant is not the same as absence of a claim, so commission an original redraw rather than reproducing a circulating file.</x:t>
  </x:si>
  <x:si>
    <x:t xml:space="preserve">M21</x:t>
  </x:si>
  <x:si>
    <x:t xml:space="preserve">Rage comic faces (general)</x:t>
  </x:si>
  <x:si>
    <x:t xml:space="preserve">2008-2012</x:t>
  </x:si>
  <x:si>
    <x:t xml:space="preserve">Anonymous user drawings</x:t>
  </x:si>
  <x:si>
    <x:t xml:space="preserve">Mostly unattributed; some panels derive from published manga</x:t>
  </x:si>
  <x:si>
    <x:t xml:space="preserve">None found for the anonymous faces.</x:t>
  </x:si>
  <x:si>
    <x:t xml:space="preserve">Treat as a class, not as one object, and exclude any face traceable to a published source. Trollface is the named exception and is filed separately at M13.</x:t>
  </x:si>
  <x:si>
    <x:t xml:space="preserve">M22</x:t>
  </x:si>
  <x:si>
    <x:t xml:space="preserve">Loss</x:t>
  </x:si>
  <x:si>
    <x:t xml:space="preserve">Tim Buckley</x:t>
  </x:si>
  <x:si>
    <x:t xml:space="preserve">The four-panel abstraction has become separable from the drawing itself. An original abstraction of the layout is almost certainly clear and is the best test case for the whole redraw approach.</x:t>
  </x:si>
  <x:si>
    <x:t xml:space="preserve">M23</x:t>
  </x:si>
  <x:si>
    <x:t xml:space="preserve">All Your Base</x:t>
  </x:si>
  <x:si>
    <x:t xml:space="preserve">1991 game, 2001 meme</x:t>
  </x:si>
  <x:si>
    <x:t xml:space="preserve">Video game screen text</x:t>
  </x:si>
  <x:si>
    <x:t xml:space="preserve">Game publisher and successors</x:t>
  </x:si>
  <x:si>
    <x:t xml:space="preserve">The text is short enough that copyright in the phrase alone is doubtful, but the screenshot is not. Set the phrase in your own type and skip the image.</x:t>
  </x:si>
  <x:si>
    <x:t xml:space="preserve">M24</x:t>
  </x:si>
  <x:si>
    <x:t xml:space="preserve">Blinking White Guy</x:t>
  </x:si>
  <x:si>
    <x:t xml:space="preserve">2013 footage, 2017 meme</x:t>
  </x:si>
  <x:si>
    <x:t xml:space="preserve">Video still from a podcast</x:t>
  </x:si>
  <x:si>
    <x:t xml:space="preserve">The performer and the production company</x:t>
  </x:si>
  <x:si>
    <x:t xml:space="preserve">No litigation found. Subject has spoken publicly about receiving no compensation.</x:t>
  </x:si>
  <x:si>
    <x:t xml:space="preserve">Corporate-owned footage with an identifiable performer. The performer's own statements about non-compensation belong in the label.</x:t>
  </x:si>
  <x:si>
    <x:t xml:space="preserve">Assumption:</x:t>
  </x:si>
  <x:si>
    <x:t xml:space="preserve">Code</x:t>
  </x:si>
  <x:si>
    <x:t xml:space="preserve">Display posture</x:t>
  </x:si>
  <x:si>
    <x:t xml:space="preserve">What it requires</x:t>
  </x:si>
  <x:si>
    <x:t xml:space="preserve">Merch</x:t>
  </x:si>
  <x:si>
    <x:t xml:space="preserve">Show with commentary</x:t>
  </x:si>
  <x:si>
    <x:t xml:space="preserve">No identified rights holder, or an original redraw commissioned by the museum. Show at any scale with a specimen label and a note on attribution status.</x:t>
  </x:si>
  <x:si>
    <x:t xml:space="preserve">Original redraw only. Never a circulating file.</x:t>
  </x:si>
  <x:si>
    <x:t xml:space="preserve">Show with rights note</x:t>
  </x:si>
  <x:si>
    <x:t xml:space="preserve">Rights holder identified and reachable. Thumbnail scale only, commentary specific to that image, attribution naming the creator, and no purchase path anywhere on the page.</x:t>
  </x:si>
  <x:si>
    <x:t xml:space="preserve">Licence or nothing. Default to nothing.</x:t>
  </x:si>
  <x:si>
    <x:t xml:space="preserve">Do not show</x:t>
  </x:si>
  <x:si>
    <x:t xml:space="preserve">Agency-held stock, label-owned audiovisual work, active enforcement campaign, or a composite with multiple owners. Exhibit the placeholder card instead.</x:t>
  </x:si>
  <x:si>
    <x:t xml:space="preserve">Never pursue.</x:t>
  </x:si>
  <x:si>
    <x:t xml:space="preserve">Placeholder</x:t>
  </x:si>
  <x:si>
    <x:t xml:space="preserve">MC.2026.009 Specimen not on display</x:t>
  </x:si>
  <x:si>
    <x:t xml:space="preserve">Standing card used for every D3 entry. The absence is the exhibit.</x:t>
  </x:si>
  <x:si>
    <x:t xml:space="preserve">The card itself is sellable. It contains no third-party work.</x:t>
  </x:si>
  <x:si>
    <x:t xml:space="preserve">Memecrypt rights register: counts</x:t>
  </x:si>
  <x:si>
    <x:t xml:space="preserve">Specimens</x:t>
  </x:si>
  <x:si>
    <x:t xml:space="preserve">Share</x:t>
  </x:si>
  <x:si>
    <x:t xml:space="preserve">D1 Show with commentary</x:t>
  </x:si>
  <x:si>
    <x:t xml:space="preserve">D2 Show with rights note</x:t>
  </x:si>
  <x:si>
    <x:t xml:space="preserve">D3 Do not show</x:t>
  </x:si>
  <x:si>
    <x:t xml:space="preserve">Total</x:t>
  </x:si>
  <x:si>
    <x:t xml:space="preserve">Identifiable person in the image</x:t>
  </x:si>
  <x:si>
    <x:t xml:space="preserve">Person was a minor when photographed</x:t>
  </x:si>
  <x:si>
    <x:t xml:space="preserve">Merch posture: never pursue</x:t>
  </x:si>
</x:sst>
</file>

<file path=xl/styles.xml><?xml version="1.0" encoding="utf-8"?>
<x:styleSheet xmlns:x="http://schemas.openxmlformats.org/spreadsheetml/2006/main">
  <x:numFmts count="2">
    <x:numFmt numFmtId="164" formatCode="General"/>
    <x:numFmt numFmtId="165" formatCode="0.0%"/>
  </x:numFmts>
  <x:fonts count="10">
    <x:font>
      <x:sz val="11"/>
      <x:color theme="1"/>
      <x:name val="Calibri"/>
    </x:font>
    <x:font>
      <x:sz val="10"/>
      <x:name val="Arial"/>
    </x:font>
    <x:font>
      <x:sz val="10"/>
      <x:name val="Arial"/>
    </x:font>
    <x:font>
      <x:sz val="10"/>
      <x:name val="Arial"/>
    </x:font>
    <x:font>
      <x:b/>
      <x:sz val="10"/>
      <x:color rgb="FFFFFFFF"/>
      <x:name val="Arial"/>
    </x:font>
    <x:font>
      <x:sz val="10"/>
      <x:name val="Arial"/>
    </x:font>
    <x:font>
      <x:b/>
      <x:sz val="10"/>
      <x:name val="Arial"/>
    </x:font>
    <x:font>
      <x:b/>
      <x:sz val="12"/>
      <x:name val="Arial"/>
    </x:font>
    <x:font>
      <x:i/>
      <x:sz val="9"/>
      <x:name val="Arial"/>
    </x:font>
    <x:font>
      <x:b/>
      <x:sz val="11"/>
      <x:color theme="1"/>
      <x:name val="Calibri"/>
    </x:font>
  </x:fonts>
  <x:fills count="12">
    <x:fill>
      <x:patternFill patternType="none"/>
    </x:fill>
    <x:fill>
      <x:patternFill patternType="gray125"/>
    </x:fill>
    <x:fill>
      <x:patternFill patternType="solid">
        <x:fgColor rgb="FF1F2933"/>
      </x:patternFill>
    </x:fill>
    <x:fill>
      <x:patternFill patternType="solid">
        <x:fgColor rgb="FFFDF3D0"/>
      </x:patternFill>
    </x:fill>
    <x:fill>
      <x:patternFill patternType="solid">
        <x:fgColor rgb="FFF8D7D7"/>
      </x:patternFill>
    </x:fill>
    <x:fill>
      <x:patternFill patternType="solid">
        <x:fgColor rgb="FFD6EED6"/>
      </x:patternFill>
    </x:fill>
    <x:fill>
      <x:patternFill patternType="solid">
        <x:fgColor rgb="FFF4CCCC"/>
      </x:patternFill>
    </x:fill>
    <x:fill>
      <x:patternFill patternType="solid">
        <x:fgColor rgb="FFFFF2CC"/>
      </x:patternFill>
    </x:fill>
    <x:fill>
      <x:patternFill patternType="solid">
        <x:fgColor rgb="FFF4CCCC"/>
      </x:patternFill>
    </x:fill>
    <x:fill>
      <x:patternFill patternType="solid">
        <x:fgColor rgb="FFFFF2CC"/>
      </x:patternFill>
    </x:fill>
    <x:fill>
      <x:patternFill patternType="solid">
        <x:fgColor rgb="FFF4CCCC"/>
      </x:patternFill>
    </x:fill>
    <x:fill>
      <x:patternFill patternType="solid">
        <x:fgColor rgb="FFFFF2CC"/>
      </x:patternFill>
    </x:fill>
  </x:fills>
  <x:borders count="2">
    <x:border diagonalUp="0" diagonalDown="0"/>
    <x:border diagonalUp="0" diagonalDown="0">
      <x:left style="thin">
        <x:color rgb="FFC4CDD5"/>
      </x:left>
      <x:right style="thin">
        <x:color rgb="FFC4CDD5"/>
      </x:right>
      <x:top style="thin">
        <x:color rgb="FFC4CDD5"/>
      </x:top>
      <x:bottom style="thin">
        <x:color rgb="FFC4CDD5"/>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7">
    <x:xf numFmtId="164" fontId="0" fillId="0" borderId="0" xfId="0" applyFont="0" applyBorder="0" applyAlignment="0">
      <x:alignment horizontal="general" vertical="bottom" wrapText="0"/>
    </x:xf>
    <x:xf numFmtId="164" fontId="4" fillId="2" borderId="1" xfId="0" applyFont="1" applyBorder="1" applyAlignment="1">
      <x:alignment horizontal="general" vertical="center" wrapText="1"/>
    </x:xf>
    <x:xf numFmtId="164" fontId="5" fillId="0" borderId="1" xfId="0" applyFont="1" applyBorder="1" applyAlignment="1">
      <x:alignment horizontal="general" vertical="top" wrapText="1"/>
    </x:xf>
    <x:xf numFmtId="164" fontId="6" fillId="0" borderId="1" xfId="0" applyFont="1" applyBorder="1" applyAlignment="1">
      <x:alignment horizontal="general" vertical="top" wrapText="1"/>
    </x:xf>
    <x:xf numFmtId="164" fontId="6" fillId="3" borderId="1" xfId="0" applyFont="1" applyBorder="1" applyAlignment="1">
      <x:alignment horizontal="center" vertical="top" wrapText="1"/>
    </x:xf>
    <x:xf numFmtId="164" fontId="6" fillId="4" borderId="1" xfId="0" applyFont="1" applyBorder="1" applyAlignment="1">
      <x:alignment horizontal="center" vertical="top" wrapText="1"/>
    </x:xf>
    <x:xf numFmtId="164" fontId="6" fillId="5" borderId="1" xfId="0" applyFont="1" applyBorder="1" applyAlignment="1">
      <x:alignment horizontal="center" vertical="top" wrapText="1"/>
    </x:xf>
    <x:xf numFmtId="164" fontId="6" fillId="0" borderId="0" xfId="0" applyFont="1" applyBorder="0" applyAlignment="0">
      <x:alignment horizontal="general" vertical="bottom" wrapText="0"/>
    </x:xf>
    <x:xf numFmtId="164" fontId="5" fillId="0" borderId="0" xfId="0" applyFont="1" applyBorder="1" applyAlignment="1">
      <x:alignment horizontal="general" vertical="top" wrapText="1"/>
    </x:xf>
    <x:xf numFmtId="164" fontId="6" fillId="5" borderId="1" xfId="0" applyFont="1" applyBorder="1" applyAlignment="1">
      <x:alignment horizontal="general" vertical="top" wrapText="1"/>
    </x:xf>
    <x:xf numFmtId="164" fontId="6" fillId="3" borderId="1" xfId="0" applyFont="1" applyBorder="1" applyAlignment="1">
      <x:alignment horizontal="general" vertical="top" wrapText="1"/>
    </x:xf>
    <x:xf numFmtId="164" fontId="6" fillId="4" borderId="1" xfId="0" applyFont="1" applyBorder="1" applyAlignment="1">
      <x:alignment horizontal="general" vertical="top" wrapText="1"/>
    </x:xf>
    <x:xf numFmtId="164" fontId="7" fillId="0" borderId="0" xfId="0" applyFont="1" applyBorder="0" applyAlignment="0">
      <x:alignment horizontal="general" vertical="bottom" wrapText="0"/>
    </x:xf>
    <x:xf numFmtId="164" fontId="4" fillId="2" borderId="1" xfId="0" applyFont="1" applyBorder="1" applyAlignment="0">
      <x:alignment horizontal="general" vertical="bottom" wrapText="0"/>
    </x:xf>
    <x:xf numFmtId="164" fontId="5" fillId="0" borderId="1" xfId="0" applyFont="1" applyBorder="1" applyAlignment="0">
      <x:alignment horizontal="general" vertical="bottom" wrapText="0"/>
    </x:xf>
    <x:xf numFmtId="165" fontId="5" fillId="0" borderId="1" xfId="0" applyFont="1" applyBorder="1" applyAlignment="0">
      <x:alignment horizontal="general" vertical="bottom" wrapText="0"/>
    </x:xf>
    <x:xf numFmtId="164" fontId="6" fillId="0" borderId="1" xfId="0" applyFont="1" applyBorder="1" applyAlignment="0">
      <x:alignment horizontal="general" vertical="bottom" wrapText="0"/>
    </x:xf>
    <x:xf numFmtId="164" fontId="5" fillId="2" borderId="1" xfId="0" applyFont="1" applyBorder="1" applyAlignment="0">
      <x:alignment horizontal="general" vertical="bottom" wrapText="0"/>
    </x:xf>
    <x:xf numFmtId="164" fontId="8" fillId="0" borderId="0" xfId="0" applyFont="1" applyBorder="1" applyAlignment="1">
      <x:alignment horizontal="general" vertical="top" wrapText="1"/>
    </x:xf>
    <x:xf numFmtId="164" fontId="0" fillId="0" borderId="0" xfId="0" applyNumberFormat="1" applyFont="1" applyFill="1" applyBorder="1" applyAlignment="1">
      <x:alignment horizontal="general" vertical="bottom" wrapText="1"/>
    </x:xf>
    <x:xf numFmtId="164" fontId="6" fillId="0" borderId="0" xfId="0" applyNumberFormat="1" applyFont="1" applyFill="1" applyBorder="1" applyAlignment="1">
      <x:alignment horizontal="general" vertical="bottom" wrapText="1"/>
    </x:xf>
    <x:xf numFmtId="164" fontId="1" fillId="0" borderId="0" xfId="0" applyNumberFormat="1" applyFont="1" applyFill="1" applyBorder="1" applyAlignment="1">
      <x:alignment horizontal="general" vertical="top" wrapText="1"/>
    </x:xf>
    <x:xf numFmtId="164" fontId="9" fillId="0" borderId="0" xfId="0" applyNumberFormat="1" applyFont="1" applyFill="1" applyBorder="1" applyAlignment="1">
      <x:alignment horizontal="general" vertical="bottom" wrapText="1"/>
    </x:xf>
    <x:xf numFmtId="164" fontId="6" fillId="0" borderId="0" xfId="0" applyNumberFormat="1" applyFont="1" applyFill="1" applyBorder="1" applyAlignment="1">
      <x:alignment horizontal="general" vertical="top" wrapText="1"/>
    </x:xf>
    <x:xf numFmtId="164" fontId="9" fillId="0" borderId="0" xfId="0" applyNumberFormat="1" applyFont="1" applyFill="1" applyBorder="1" applyAlignment="1">
      <x:alignment horizontal="center" vertical="bottom" wrapText="1"/>
    </x:xf>
    <x:xf numFmtId="164" fontId="6" fillId="0" borderId="0" xfId="0" applyNumberFormat="1" applyFont="1" applyFill="1" applyBorder="1" applyAlignment="1">
      <x:alignment horizontal="center" vertical="top" wrapText="1"/>
    </x:xf>
    <x:xf numFmtId="164" fontId="9" fillId="0" borderId="0" xfId="0" applyNumberFormat="1" applyFont="1" applyFill="1" applyBorder="1" applyAlignment="1">
      <x:alignment horizontal="center" vertical="center" wrapText="1"/>
    </x:xf>
    <x:xf numFmtId="164" fontId="6" fillId="0" borderId="0" xfId="0" applyNumberFormat="1" applyFont="1" applyFill="1" applyBorder="1" applyAlignment="1">
      <x:alignment horizontal="center" vertical="center" wrapText="1"/>
    </x:xf>
    <x:xf numFmtId="164" fontId="9" fillId="6" borderId="0" xfId="0" applyNumberFormat="1" applyFont="1" applyFill="1" applyBorder="1" applyAlignment="1">
      <x:alignment horizontal="center" vertical="center" wrapText="1"/>
    </x:xf>
    <x:xf numFmtId="164" fontId="6" fillId="6" borderId="0" xfId="0" applyNumberFormat="1" applyFont="1" applyFill="1" applyBorder="1" applyAlignment="1">
      <x:alignment horizontal="center" vertical="center" wrapText="1"/>
    </x:xf>
    <x:xf numFmtId="164" fontId="9" fillId="7" borderId="0" xfId="0" applyNumberFormat="1" applyFont="1" applyFill="1" applyBorder="1" applyAlignment="1">
      <x:alignment horizontal="center" vertical="center" wrapText="1"/>
    </x:xf>
    <x:xf numFmtId="164" fontId="9" fillId="8" borderId="0" xfId="0" applyNumberFormat="1" applyFont="1" applyFill="1" applyBorder="1" applyAlignment="1">
      <x:alignment horizontal="center" vertical="center" wrapText="1"/>
    </x:xf>
    <x:xf numFmtId="164" fontId="6" fillId="8" borderId="0" xfId="0" applyNumberFormat="1" applyFont="1" applyFill="1" applyBorder="1" applyAlignment="1">
      <x:alignment horizontal="center" vertical="center" wrapText="1"/>
    </x:xf>
    <x:xf numFmtId="164" fontId="9" fillId="9" borderId="0" xfId="0" applyNumberFormat="1" applyFont="1" applyFill="1" applyBorder="1" applyAlignment="1">
      <x:alignment horizontal="center" vertical="center" wrapText="1"/>
    </x:xf>
    <x:xf numFmtId="164" fontId="9" fillId="10" borderId="0" xfId="0" applyNumberFormat="1" applyFont="1" applyFill="1" applyBorder="1" applyAlignment="1">
      <x:alignment horizontal="center" vertical="center" wrapText="1"/>
    </x:xf>
    <x:xf numFmtId="164" fontId="6" fillId="10" borderId="0" xfId="0" applyNumberFormat="1" applyFont="1" applyFill="1" applyBorder="1" applyAlignment="1">
      <x:alignment horizontal="center" vertical="center" wrapText="1"/>
    </x:xf>
    <x:xf numFmtId="164" fontId="9" fillId="11" borderId="0" xfId="0" applyNumberFormat="1" applyFont="1" applyFill="1" applyBorder="1" applyAlignment="1">
      <x:alignment horizontal="center" vertical="center" wrapText="1"/>
    </x:xf>
  </x:cellXfs>
  <x:cellStyles count="6">
    <x:cellStyle name="Normal" xfId="0"/>
    <x:cellStyle name="Comma" xfId="15"/>
    <x:cellStyle name="Comma [0]" xfId="16"/>
    <x:cellStyle name="Currency" xfId="17"/>
    <x:cellStyle name="Currency [0]" xfId="18"/>
    <x:cellStyle name="Percent" xfId="19"/>
  </x:cellStyles>
  <x:dxfs count="6">
    <x:dxf>
      <x:fill>
        <x:patternFill>
          <x:bgColor rgb="FF1F2933"/>
        </x:patternFill>
      </x:fill>
    </x:dxf>
    <x:dxf>
      <x:fill>
        <x:patternFill>
          <x:bgColor rgb="FF000000"/>
        </x:patternFill>
      </x:fill>
    </x:dxf>
    <x:dxf>
      <x:fill>
        <x:patternFill>
          <x:bgColor rgb="FFFFFFFF"/>
        </x:patternFill>
      </x:fill>
    </x:dxf>
    <x:dxf>
      <x:fill>
        <x:patternFill>
          <x:bgColor rgb="FFD6EED6"/>
        </x:patternFill>
      </x:fill>
    </x:dxf>
    <x:dxf>
      <x:fill>
        <x:patternFill>
          <x:bgColor rgb="FFF8D7D7"/>
        </x:patternFill>
      </x:fill>
    </x:dxf>
    <x:dxf>
      <x:fill>
        <x:patternFill>
          <x:bgColor rgb="FFFDF3D0"/>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4CDD5"/>
      <x:rgbColor rgb="FF808080"/>
      <x:rgbColor rgb="FF9999FF"/>
      <x:rgbColor rgb="FF993366"/>
      <x:rgbColor rgb="FFFDF3D0"/>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D6EED6"/>
      <x:rgbColor rgb="FFFFFF99"/>
      <x:rgbColor rgb="FF99CCFF"/>
      <x:rgbColor rgb="FFFF99CC"/>
      <x:rgbColor rgb="FFCC99FF"/>
      <x:rgbColor rgb="FFF8D7D7"/>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1F29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2eff0a13844065" /><Relationship Type="http://schemas.openxmlformats.org/officeDocument/2006/relationships/theme" Target="/xl/theme/theme1.xml" Id="Ree13dd90f8514678" /><Relationship Type="http://schemas.openxmlformats.org/officeDocument/2006/relationships/sharedStrings" Target="/xl/sharedStrings.xml" Id="Rf9307837b9d848a4" /><Relationship Type="http://schemas.openxmlformats.org/officeDocument/2006/relationships/worksheet" Target="/xl/worksheets/sheet1.xml" Id="Rfc4d4f6355a043a0" /><Relationship Type="http://schemas.openxmlformats.org/officeDocument/2006/relationships/worksheet" Target="/xl/worksheets/sheet2.xml" Id="Ra98a14e5ff8341e1" /><Relationship Type="http://schemas.openxmlformats.org/officeDocument/2006/relationships/worksheet" Target="/xl/worksheets/sheet3.xml" Id="R9fb7ca02182540fd"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6" hidden="0" customWidth="1"/>
    <x:col min="2" max="2" width="26" hidden="0" customWidth="1"/>
    <x:col min="3" max="3" width="20" hidden="0" customWidth="1"/>
    <x:col min="4" max="4" width="28" hidden="0" customWidth="1"/>
    <x:col min="5" max="5" width="30" hidden="0" customWidth="1"/>
    <x:col min="6" max="6" width="46" hidden="0" customWidth="1"/>
    <x:col min="7" max="7" width="20" hidden="0" customWidth="1"/>
    <x:col min="8" max="8" width="16" hidden="0" customWidth="1"/>
    <x:col min="9" max="9" width="22" hidden="0" customWidth="1"/>
    <x:col min="10" max="10" width="11" hidden="0" customWidth="1"/>
    <x:col min="11" max="11" width="20" hidden="0" customWidth="1"/>
    <x:col min="12" max="12" width="52" hidden="0" customWidth="1"/>
    <x:col min="13" max="13" width="34" hidden="0" customWidth="1"/>
  </x:cols>
  <x:sheetData>
    <x:row r="1" ht="31.5" hidden="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row>
    <x:row r="2" ht="73.5" hidden="0" customHeight="1">
      <x:c r="A2" s="2" t="s">
        <x:v>13</x:v>
      </x:c>
      <x:c r="B2" s="3" t="s">
        <x:v>14</x:v>
      </x:c>
      <x:c r="C2" s="2" t="s">
        <x:v>15</x:v>
      </x:c>
      <x:c r="D2" s="2" t="s">
        <x:v>16</x:v>
      </x:c>
      <x:c r="E2" s="2" t="s">
        <x:v>17</x:v>
      </x:c>
      <x:c r="F2" s="2" t="s">
        <x:v>18</x:v>
      </x:c>
      <x:c r="G2" s="2" t="s">
        <x:v>19</x:v>
      </x:c>
      <x:c r="H2" s="2" t="s">
        <x:v>20</x:v>
      </x:c>
      <x:c r="I2" s="2" t="s">
        <x:v>20</x:v>
      </x:c>
      <x:c r="J2" s="4" t="s">
        <x:v>21</x:v>
      </x:c>
      <x:c r="K2" s="2" t="s">
        <x:v>22</x:v>
      </x:c>
      <x:c r="L2" s="2" t="s">
        <x:v>23</x:v>
      </x:c>
      <x:c r="M2" s="2" t="s">
        <x:v>24</x:v>
      </x:c>
    </x:row>
    <x:row r="3" ht="73.5" hidden="0" customHeight="1">
      <x:c r="A3" s="2" t="s">
        <x:v>25</x:v>
      </x:c>
      <x:c r="B3" s="3" t="s">
        <x:v>26</x:v>
      </x:c>
      <x:c r="C3" s="2" t="s">
        <x:v>27</x:v>
      </x:c>
      <x:c r="D3" s="2" t="s">
        <x:v>28</x:v>
      </x:c>
      <x:c r="E3" s="2" t="s">
        <x:v>29</x:v>
      </x:c>
      <x:c r="F3" s="2" t="s">
        <x:v>30</x:v>
      </x:c>
      <x:c r="G3" s="2" t="s">
        <x:v>31</x:v>
      </x:c>
      <x:c r="H3" s="2" t="s">
        <x:v>20</x:v>
      </x:c>
      <x:c r="I3" s="2" t="s">
        <x:v>20</x:v>
      </x:c>
      <x:c r="J3" s="4" t="s">
        <x:v>21</x:v>
      </x:c>
      <x:c r="K3" s="2" t="s">
        <x:v>32</x:v>
      </x:c>
      <x:c r="L3" s="2" t="s">
        <x:v>33</x:v>
      </x:c>
      <x:c r="M3" s="2" t="s">
        <x:v>34</x:v>
      </x:c>
    </x:row>
    <x:row r="4" ht="73.5" hidden="0" customHeight="1">
      <x:c r="A4" s="2" t="s">
        <x:v>35</x:v>
      </x:c>
      <x:c r="B4" s="3" t="s">
        <x:v>36</x:v>
      </x:c>
      <x:c r="C4" s="2" t="s">
        <x:v>37</x:v>
      </x:c>
      <x:c r="D4" s="2" t="s">
        <x:v>38</x:v>
      </x:c>
      <x:c r="E4" s="2" t="s">
        <x:v>39</x:v>
      </x:c>
      <x:c r="F4" s="2" t="s">
        <x:v>40</x:v>
      </x:c>
      <x:c r="G4" s="2" t="s">
        <x:v>31</x:v>
      </x:c>
      <x:c r="H4" s="2" t="s">
        <x:v>41</x:v>
      </x:c>
      <x:c r="I4" s="2" t="s">
        <x:v>42</x:v>
      </x:c>
      <x:c r="J4" s="4" t="s">
        <x:v>21</x:v>
      </x:c>
      <x:c r="K4" s="2" t="s">
        <x:v>32</x:v>
      </x:c>
      <x:c r="L4" s="2" t="s">
        <x:v>43</x:v>
      </x:c>
      <x:c r="M4" s="2" t="s">
        <x:v>44</x:v>
      </x:c>
    </x:row>
    <x:row r="5" ht="73.5" hidden="0" customHeight="1">
      <x:c r="A5" s="2" t="s">
        <x:v>45</x:v>
      </x:c>
      <x:c r="B5" s="3" t="s">
        <x:v>46</x:v>
      </x:c>
      <x:c r="C5" s="2" t="s">
        <x:v>47</x:v>
      </x:c>
      <x:c r="D5" s="2" t="s">
        <x:v>48</x:v>
      </x:c>
      <x:c r="E5" s="2" t="s">
        <x:v>49</x:v>
      </x:c>
      <x:c r="F5" s="2" t="s">
        <x:v>50</x:v>
      </x:c>
      <x:c r="G5" s="2" t="s">
        <x:v>31</x:v>
      </x:c>
      <x:c r="H5" s="2" t="s">
        <x:v>20</x:v>
      </x:c>
      <x:c r="I5" s="2" t="s">
        <x:v>20</x:v>
      </x:c>
      <x:c r="J5" s="5" t="s">
        <x:v>51</x:v>
      </x:c>
      <x:c r="K5" s="2" t="s">
        <x:v>32</x:v>
      </x:c>
      <x:c r="L5" s="2" t="s">
        <x:v>52</x:v>
      </x:c>
      <x:c r="M5" s="2" t="s">
        <x:v>53</x:v>
      </x:c>
    </x:row>
    <x:row r="6" ht="73.5" hidden="0" customHeight="1">
      <x:c r="A6" s="2" t="s">
        <x:v>54</x:v>
      </x:c>
      <x:c r="B6" s="3" t="s">
        <x:v>55</x:v>
      </x:c>
      <x:c r="C6" s="2" t="s">
        <x:v>56</x:v>
      </x:c>
      <x:c r="D6" s="2" t="s">
        <x:v>57</x:v>
      </x:c>
      <x:c r="E6" s="2" t="s">
        <x:v>58</x:v>
      </x:c>
      <x:c r="F6" s="2" t="s">
        <x:v>59</x:v>
      </x:c>
      <x:c r="G6" s="2" t="s">
        <x:v>31</x:v>
      </x:c>
      <x:c r="H6" s="2" t="s">
        <x:v>20</x:v>
      </x:c>
      <x:c r="I6" s="2" t="s">
        <x:v>20</x:v>
      </x:c>
      <x:c r="J6" s="4" t="s">
        <x:v>21</x:v>
      </x:c>
      <x:c r="K6" s="2" t="s">
        <x:v>22</x:v>
      </x:c>
      <x:c r="L6" s="2" t="s">
        <x:v>60</x:v>
      </x:c>
      <x:c r="M6" s="2" t="s">
        <x:v>61</x:v>
      </x:c>
    </x:row>
    <x:row r="7" ht="73.5" hidden="0" customHeight="1">
      <x:c r="A7" s="2" t="s">
        <x:v>62</x:v>
      </x:c>
      <x:c r="B7" s="3" t="s">
        <x:v>63</x:v>
      </x:c>
      <x:c r="C7" s="2" t="s">
        <x:v>64</x:v>
      </x:c>
      <x:c r="D7" s="2" t="s">
        <x:v>65</x:v>
      </x:c>
      <x:c r="E7" s="2" t="s">
        <x:v>66</x:v>
      </x:c>
      <x:c r="F7" s="2" t="s">
        <x:v>67</x:v>
      </x:c>
      <x:c r="G7" s="2" t="s">
        <x:v>31</x:v>
      </x:c>
      <x:c r="H7" s="2" t="s">
        <x:v>20</x:v>
      </x:c>
      <x:c r="I7" s="2" t="s">
        <x:v>20</x:v>
      </x:c>
      <x:c r="J7" s="4" t="s">
        <x:v>21</x:v>
      </x:c>
      <x:c r="K7" s="2" t="s">
        <x:v>22</x:v>
      </x:c>
      <x:c r="L7" s="2" t="s">
        <x:v>68</x:v>
      </x:c>
      <x:c r="M7" s="2" t="s">
        <x:v>61</x:v>
      </x:c>
    </x:row>
    <x:row r="8" ht="73.5" hidden="0" customHeight="1">
      <x:c r="A8" s="2" t="s">
        <x:v>69</x:v>
      </x:c>
      <x:c r="B8" s="3" t="s">
        <x:v>70</x:v>
      </x:c>
      <x:c r="C8" s="2" t="s">
        <x:v>71</x:v>
      </x:c>
      <x:c r="D8" s="2" t="s">
        <x:v>72</x:v>
      </x:c>
      <x:c r="E8" s="2" t="s">
        <x:v>73</x:v>
      </x:c>
      <x:c r="F8" s="2" t="s">
        <x:v>74</x:v>
      </x:c>
      <x:c r="G8" s="2" t="s">
        <x:v>19</x:v>
      </x:c>
      <x:c r="H8" s="2" t="s">
        <x:v>75</x:v>
      </x:c>
      <x:c r="I8" s="2" t="s">
        <x:v>20</x:v>
      </x:c>
      <x:c r="J8" s="5" t="s">
        <x:v>51</x:v>
      </x:c>
      <x:c r="K8" s="2" t="s">
        <x:v>32</x:v>
      </x:c>
      <x:c r="L8" s="2" t="s">
        <x:v>76</x:v>
      </x:c>
      <x:c r="M8" s="2" t="s">
        <x:v>24</x:v>
      </x:c>
    </x:row>
    <x:row r="9" ht="73.5" hidden="0" customHeight="1">
      <x:c r="A9" s="2" t="s">
        <x:v>77</x:v>
      </x:c>
      <x:c r="B9" s="3" t="s">
        <x:v>78</x:v>
      </x:c>
      <x:c r="C9" s="2" t="s">
        <x:v>79</x:v>
      </x:c>
      <x:c r="D9" s="2" t="s">
        <x:v>80</x:v>
      </x:c>
      <x:c r="E9" s="2" t="s">
        <x:v>81</x:v>
      </x:c>
      <x:c r="F9" s="2" t="s">
        <x:v>82</x:v>
      </x:c>
      <x:c r="G9" s="2" t="s">
        <x:v>83</x:v>
      </x:c>
      <x:c r="H9" s="2" t="s">
        <x:v>41</x:v>
      </x:c>
      <x:c r="I9" s="2" t="s">
        <x:v>84</x:v>
      </x:c>
      <x:c r="J9" s="4" t="s">
        <x:v>21</x:v>
      </x:c>
      <x:c r="K9" s="2" t="s">
        <x:v>32</x:v>
      </x:c>
      <x:c r="L9" s="2" t="s">
        <x:v>85</x:v>
      </x:c>
      <x:c r="M9" s="2" t="s">
        <x:v>24</x:v>
      </x:c>
    </x:row>
    <x:row r="10" ht="73.5" hidden="0" customHeight="1">
      <x:c r="A10" s="2" t="s">
        <x:v>86</x:v>
      </x:c>
      <x:c r="B10" s="3" t="s">
        <x:v>87</x:v>
      </x:c>
      <x:c r="C10" s="2" t="s">
        <x:v>27</x:v>
      </x:c>
      <x:c r="D10" s="2" t="s">
        <x:v>88</x:v>
      </x:c>
      <x:c r="E10" s="2" t="s">
        <x:v>89</x:v>
      </x:c>
      <x:c r="F10" s="2" t="s">
        <x:v>90</x:v>
      </x:c>
      <x:c r="G10" s="2" t="s">
        <x:v>83</x:v>
      </x:c>
      <x:c r="H10" s="2" t="s">
        <x:v>41</x:v>
      </x:c>
      <x:c r="I10" s="2" t="s">
        <x:v>20</x:v>
      </x:c>
      <x:c r="J10" s="4" t="s">
        <x:v>21</x:v>
      </x:c>
      <x:c r="K10" s="2" t="s">
        <x:v>32</x:v>
      </x:c>
      <x:c r="L10" s="2" t="s">
        <x:v>91</x:v>
      </x:c>
      <x:c r="M10" s="2" t="s">
        <x:v>24</x:v>
      </x:c>
    </x:row>
    <x:row r="11" ht="73.5" hidden="0" customHeight="1">
      <x:c r="A11" s="2" t="s">
        <x:v>92</x:v>
      </x:c>
      <x:c r="B11" s="3" t="s">
        <x:v>93</x:v>
      </x:c>
      <x:c r="C11" s="2" t="s">
        <x:v>27</x:v>
      </x:c>
      <x:c r="D11" s="2" t="s">
        <x:v>94</x:v>
      </x:c>
      <x:c r="E11" s="2" t="s">
        <x:v>95</x:v>
      </x:c>
      <x:c r="F11" s="2" t="s">
        <x:v>90</x:v>
      </x:c>
      <x:c r="G11" s="2" t="s">
        <x:v>83</x:v>
      </x:c>
      <x:c r="H11" s="2" t="s">
        <x:v>41</x:v>
      </x:c>
      <x:c r="I11" s="2" t="s">
        <x:v>96</x:v>
      </x:c>
      <x:c r="J11" s="4" t="s">
        <x:v>21</x:v>
      </x:c>
      <x:c r="K11" s="2" t="s">
        <x:v>32</x:v>
      </x:c>
      <x:c r="L11" s="2" t="s">
        <x:v>97</x:v>
      </x:c>
      <x:c r="M11" s="2" t="s">
        <x:v>24</x:v>
      </x:c>
    </x:row>
    <x:row r="12" ht="73.5" hidden="0" customHeight="1">
      <x:c r="A12" s="2" t="s">
        <x:v>98</x:v>
      </x:c>
      <x:c r="B12" s="3" t="s">
        <x:v>99</x:v>
      </x:c>
      <x:c r="C12" s="2" t="s">
        <x:v>100</x:v>
      </x:c>
      <x:c r="D12" s="2" t="s">
        <x:v>101</x:v>
      </x:c>
      <x:c r="E12" s="2" t="s">
        <x:v>102</x:v>
      </x:c>
      <x:c r="F12" s="2" t="s">
        <x:v>103</x:v>
      </x:c>
      <x:c r="G12" s="2" t="s">
        <x:v>83</x:v>
      </x:c>
      <x:c r="H12" s="2" t="s">
        <x:v>20</x:v>
      </x:c>
      <x:c r="I12" s="2" t="s">
        <x:v>20</x:v>
      </x:c>
      <x:c r="J12" s="5" t="s">
        <x:v>51</x:v>
      </x:c>
      <x:c r="K12" s="2" t="s">
        <x:v>32</x:v>
      </x:c>
      <x:c r="L12" s="2" t="s">
        <x:v>104</x:v>
      </x:c>
      <x:c r="M12" s="2" t="s">
        <x:v>24</x:v>
      </x:c>
    </x:row>
    <x:row r="13" ht="73.5" hidden="0" customHeight="1">
      <x:c r="A13" s="2" t="s">
        <x:v>105</x:v>
      </x:c>
      <x:c r="B13" s="3" t="s">
        <x:v>106</x:v>
      </x:c>
      <x:c r="C13" s="2" t="s">
        <x:v>56</x:v>
      </x:c>
      <x:c r="D13" s="2" t="s">
        <x:v>107</x:v>
      </x:c>
      <x:c r="E13" s="2" t="s">
        <x:v>108</x:v>
      </x:c>
      <x:c r="F13" s="2" t="s">
        <x:v>109</x:v>
      </x:c>
      <x:c r="G13" s="2" t="s">
        <x:v>83</x:v>
      </x:c>
      <x:c r="H13" s="2" t="s">
        <x:v>41</x:v>
      </x:c>
      <x:c r="I13" s="2" t="s">
        <x:v>20</x:v>
      </x:c>
      <x:c r="J13" s="4" t="s">
        <x:v>21</x:v>
      </x:c>
      <x:c r="K13" s="2" t="s">
        <x:v>22</x:v>
      </x:c>
      <x:c r="L13" s="2" t="s">
        <x:v>110</x:v>
      </x:c>
      <x:c r="M13" s="2" t="s">
        <x:v>24</x:v>
      </x:c>
    </x:row>
    <x:row r="14" ht="73.5" hidden="0" customHeight="1">
      <x:c r="A14" s="2" t="s">
        <x:v>111</x:v>
      </x:c>
      <x:c r="B14" s="3" t="s">
        <x:v>112</x:v>
      </x:c>
      <x:c r="C14" s="2" t="s">
        <x:v>113</x:v>
      </x:c>
      <x:c r="D14" s="2" t="s">
        <x:v>114</x:v>
      </x:c>
      <x:c r="E14" s="2" t="s">
        <x:v>115</x:v>
      </x:c>
      <x:c r="F14" s="2" t="s">
        <x:v>116</x:v>
      </x:c>
      <x:c r="G14" s="2" t="s">
        <x:v>83</x:v>
      </x:c>
      <x:c r="H14" s="2" t="s">
        <x:v>20</x:v>
      </x:c>
      <x:c r="I14" s="2" t="s">
        <x:v>20</x:v>
      </x:c>
      <x:c r="J14" s="4" t="s">
        <x:v>21</x:v>
      </x:c>
      <x:c r="K14" s="2" t="s">
        <x:v>22</x:v>
      </x:c>
      <x:c r="L14" s="2" t="s">
        <x:v>117</x:v>
      </x:c>
      <x:c r="M14" s="2" t="s">
        <x:v>24</x:v>
      </x:c>
    </x:row>
    <x:row r="15" ht="73.5" hidden="0" customHeight="1">
      <x:c r="A15" s="2" t="s">
        <x:v>118</x:v>
      </x:c>
      <x:c r="B15" s="3" t="s">
        <x:v>119</x:v>
      </x:c>
      <x:c r="C15" s="2" t="s">
        <x:v>120</x:v>
      </x:c>
      <x:c r="D15" s="2" t="s">
        <x:v>121</x:v>
      </x:c>
      <x:c r="E15" s="2" t="s">
        <x:v>122</x:v>
      </x:c>
      <x:c r="F15" s="2" t="s">
        <x:v>123</x:v>
      </x:c>
      <x:c r="G15" s="2" t="s">
        <x:v>83</x:v>
      </x:c>
      <x:c r="H15" s="2" t="s">
        <x:v>20</x:v>
      </x:c>
      <x:c r="I15" s="2" t="s">
        <x:v>20</x:v>
      </x:c>
      <x:c r="J15" s="4" t="s">
        <x:v>21</x:v>
      </x:c>
      <x:c r="K15" s="2" t="s">
        <x:v>32</x:v>
      </x:c>
      <x:c r="L15" s="2" t="s">
        <x:v>124</x:v>
      </x:c>
      <x:c r="M15" s="2" t="s">
        <x:v>24</x:v>
      </x:c>
    </x:row>
    <x:row r="16" ht="73.5" hidden="0" customHeight="1">
      <x:c r="A16" s="2" t="s">
        <x:v>125</x:v>
      </x:c>
      <x:c r="B16" s="3" t="s">
        <x:v>126</x:v>
      </x:c>
      <x:c r="C16" s="2" t="s">
        <x:v>127</x:v>
      </x:c>
      <x:c r="D16" s="2" t="s">
        <x:v>128</x:v>
      </x:c>
      <x:c r="E16" s="2" t="s">
        <x:v>129</x:v>
      </x:c>
      <x:c r="F16" s="2" t="s">
        <x:v>130</x:v>
      </x:c>
      <x:c r="G16" s="2" t="s">
        <x:v>83</x:v>
      </x:c>
      <x:c r="H16" s="2" t="s">
        <x:v>41</x:v>
      </x:c>
      <x:c r="I16" s="2" t="s">
        <x:v>20</x:v>
      </x:c>
      <x:c r="J16" s="5" t="s">
        <x:v>51</x:v>
      </x:c>
      <x:c r="K16" s="2" t="s">
        <x:v>32</x:v>
      </x:c>
      <x:c r="L16" s="2" t="s">
        <x:v>131</x:v>
      </x:c>
      <x:c r="M16" s="2" t="s">
        <x:v>24</x:v>
      </x:c>
    </x:row>
    <x:row r="17" ht="73.5" hidden="0" customHeight="1">
      <x:c r="A17" s="2" t="s">
        <x:v>132</x:v>
      </x:c>
      <x:c r="B17" s="3" t="s">
        <x:v>133</x:v>
      </x:c>
      <x:c r="C17" s="2" t="s">
        <x:v>134</x:v>
      </x:c>
      <x:c r="D17" s="2" t="s">
        <x:v>135</x:v>
      </x:c>
      <x:c r="E17" s="2" t="s">
        <x:v>136</x:v>
      </x:c>
      <x:c r="F17" s="2" t="s">
        <x:v>137</x:v>
      </x:c>
      <x:c r="G17" s="2" t="s">
        <x:v>83</x:v>
      </x:c>
      <x:c r="H17" s="2" t="s">
        <x:v>41</x:v>
      </x:c>
      <x:c r="I17" s="2" t="s">
        <x:v>20</x:v>
      </x:c>
      <x:c r="J17" s="5" t="s">
        <x:v>51</x:v>
      </x:c>
      <x:c r="K17" s="2" t="s">
        <x:v>32</x:v>
      </x:c>
      <x:c r="L17" s="2" t="s">
        <x:v>138</x:v>
      </x:c>
      <x:c r="M17" s="2" t="s">
        <x:v>24</x:v>
      </x:c>
    </x:row>
    <x:row r="18" ht="73.5" hidden="0" customHeight="1">
      <x:c r="A18" s="2" t="s">
        <x:v>139</x:v>
      </x:c>
      <x:c r="B18" s="3" t="s">
        <x:v>140</x:v>
      </x:c>
      <x:c r="C18" s="2" t="s">
        <x:v>141</x:v>
      </x:c>
      <x:c r="D18" s="2" t="s">
        <x:v>142</x:v>
      </x:c>
      <x:c r="E18" s="2" t="s">
        <x:v>143</x:v>
      </x:c>
      <x:c r="F18" s="2" t="s">
        <x:v>144</x:v>
      </x:c>
      <x:c r="G18" s="2" t="s">
        <x:v>83</x:v>
      </x:c>
      <x:c r="H18" s="2" t="s">
        <x:v>41</x:v>
      </x:c>
      <x:c r="I18" s="2" t="s">
        <x:v>20</x:v>
      </x:c>
      <x:c r="J18" s="5" t="s">
        <x:v>51</x:v>
      </x:c>
      <x:c r="K18" s="2" t="s">
        <x:v>32</x:v>
      </x:c>
      <x:c r="L18" s="2" t="s">
        <x:v>145</x:v>
      </x:c>
      <x:c r="M18" s="2" t="s">
        <x:v>24</x:v>
      </x:c>
    </x:row>
    <x:row r="19" ht="73.5" hidden="0" customHeight="1">
      <x:c r="A19" s="2" t="s">
        <x:v>146</x:v>
      </x:c>
      <x:c r="B19" s="3" t="s">
        <x:v>147</x:v>
      </x:c>
      <x:c r="C19" s="2" t="s">
        <x:v>27</x:v>
      </x:c>
      <x:c r="D19" s="2" t="s">
        <x:v>148</x:v>
      </x:c>
      <x:c r="E19" s="2" t="s">
        <x:v>149</x:v>
      </x:c>
      <x:c r="F19" s="2" t="s">
        <x:v>150</x:v>
      </x:c>
      <x:c r="G19" s="2" t="s">
        <x:v>83</x:v>
      </x:c>
      <x:c r="H19" s="2" t="s">
        <x:v>41</x:v>
      </x:c>
      <x:c r="I19" s="2" t="s">
        <x:v>96</x:v>
      </x:c>
      <x:c r="J19" s="4" t="s">
        <x:v>21</x:v>
      </x:c>
      <x:c r="K19" s="2" t="s">
        <x:v>32</x:v>
      </x:c>
      <x:c r="L19" s="2" t="s">
        <x:v>151</x:v>
      </x:c>
      <x:c r="M19" s="2" t="s">
        <x:v>24</x:v>
      </x:c>
    </x:row>
    <x:row r="20" ht="73.5" hidden="0" customHeight="1">
      <x:c r="A20" s="2" t="s">
        <x:v>152</x:v>
      </x:c>
      <x:c r="B20" s="3" t="s">
        <x:v>153</x:v>
      </x:c>
      <x:c r="C20" s="2" t="s">
        <x:v>154</x:v>
      </x:c>
      <x:c r="D20" s="2" t="s">
        <x:v>155</x:v>
      </x:c>
      <x:c r="E20" s="2" t="s">
        <x:v>156</x:v>
      </x:c>
      <x:c r="F20" s="2" t="s">
        <x:v>157</x:v>
      </x:c>
      <x:c r="G20" s="2" t="s">
        <x:v>83</x:v>
      </x:c>
      <x:c r="H20" s="2" t="s">
        <x:v>41</x:v>
      </x:c>
      <x:c r="I20" s="2" t="s">
        <x:v>20</x:v>
      </x:c>
      <x:c r="J20" s="5" t="s">
        <x:v>51</x:v>
      </x:c>
      <x:c r="K20" s="2" t="s">
        <x:v>32</x:v>
      </x:c>
      <x:c r="L20" s="2" t="s">
        <x:v>158</x:v>
      </x:c>
      <x:c r="M20" s="2" t="s">
        <x:v>24</x:v>
      </x:c>
    </x:row>
    <x:row r="21" ht="73.5" hidden="0" customHeight="1">
      <x:c r="A21" s="2" t="s">
        <x:v>159</x:v>
      </x:c>
      <x:c r="B21" s="3" t="s">
        <x:v>160</x:v>
      </x:c>
      <x:c r="C21" s="2" t="s">
        <x:v>161</x:v>
      </x:c>
      <x:c r="D21" s="2" t="s">
        <x:v>162</x:v>
      </x:c>
      <x:c r="E21" s="2" t="s">
        <x:v>163</x:v>
      </x:c>
      <x:c r="F21" s="2" t="s">
        <x:v>164</x:v>
      </x:c>
      <x:c r="G21" s="2" t="s">
        <x:v>19</x:v>
      </x:c>
      <x:c r="H21" s="2" t="s">
        <x:v>20</x:v>
      </x:c>
      <x:c r="I21" s="2" t="s">
        <x:v>20</x:v>
      </x:c>
      <x:c r="J21" s="6" t="s">
        <x:v>165</x:v>
      </x:c>
      <x:c r="K21" s="2" t="s">
        <x:v>166</x:v>
      </x:c>
      <x:c r="L21" s="2" t="s">
        <x:v>167</x:v>
      </x:c>
      <x:c r="M21" s="2" t="s">
        <x:v>24</x:v>
      </x:c>
    </x:row>
    <x:row r="22" ht="73.5" hidden="0" customHeight="1">
      <x:c r="A22" s="2" t="s">
        <x:v>168</x:v>
      </x:c>
      <x:c r="B22" s="3" t="s">
        <x:v>169</x:v>
      </x:c>
      <x:c r="C22" s="2" t="s">
        <x:v>170</x:v>
      </x:c>
      <x:c r="D22" s="2" t="s">
        <x:v>171</x:v>
      </x:c>
      <x:c r="E22" s="2" t="s">
        <x:v>172</x:v>
      </x:c>
      <x:c r="F22" s="2" t="s">
        <x:v>173</x:v>
      </x:c>
      <x:c r="G22" s="2" t="s">
        <x:v>19</x:v>
      </x:c>
      <x:c r="H22" s="2" t="s">
        <x:v>20</x:v>
      </x:c>
      <x:c r="I22" s="2" t="s">
        <x:v>20</x:v>
      </x:c>
      <x:c r="J22" s="6" t="s">
        <x:v>165</x:v>
      </x:c>
      <x:c r="K22" s="2" t="s">
        <x:v>166</x:v>
      </x:c>
      <x:c r="L22" s="2" t="s">
        <x:v>174</x:v>
      </x:c>
      <x:c r="M22" s="2" t="s">
        <x:v>24</x:v>
      </x:c>
    </x:row>
    <x:row r="23" ht="73.5" hidden="0" customHeight="1">
      <x:c r="A23" s="2" t="s">
        <x:v>175</x:v>
      </x:c>
      <x:c r="B23" s="3" t="s">
        <x:v>176</x:v>
      </x:c>
      <x:c r="C23" s="2" t="s">
        <x:v>113</x:v>
      </x:c>
      <x:c r="D23" s="2" t="s">
        <x:v>121</x:v>
      </x:c>
      <x:c r="E23" s="2" t="s">
        <x:v>177</x:v>
      </x:c>
      <x:c r="F23" s="2" t="s">
        <x:v>164</x:v>
      </x:c>
      <x:c r="G23" s="2" t="s">
        <x:v>19</x:v>
      </x:c>
      <x:c r="H23" s="2" t="s">
        <x:v>20</x:v>
      </x:c>
      <x:c r="I23" s="2" t="s">
        <x:v>20</x:v>
      </x:c>
      <x:c r="J23" s="6" t="s">
        <x:v>165</x:v>
      </x:c>
      <x:c r="K23" s="2" t="s">
        <x:v>166</x:v>
      </x:c>
      <x:c r="L23" s="2" t="s">
        <x:v>178</x:v>
      </x:c>
      <x:c r="M23" s="2" t="s">
        <x:v>24</x:v>
      </x:c>
    </x:row>
    <x:row r="24" ht="73.5" hidden="0" customHeight="1">
      <x:c r="A24" s="2" t="s">
        <x:v>179</x:v>
      </x:c>
      <x:c r="B24" s="3" t="s">
        <x:v>180</x:v>
      </x:c>
      <x:c r="C24" s="2" t="s">
        <x:v>181</x:v>
      </x:c>
      <x:c r="D24" s="2" t="s">
        <x:v>182</x:v>
      </x:c>
      <x:c r="E24" s="2" t="s">
        <x:v>183</x:v>
      </x:c>
      <x:c r="F24" s="2" t="s">
        <x:v>164</x:v>
      </x:c>
      <x:c r="G24" s="2" t="s">
        <x:v>19</x:v>
      </x:c>
      <x:c r="H24" s="2" t="s">
        <x:v>20</x:v>
      </x:c>
      <x:c r="I24" s="2" t="s">
        <x:v>20</x:v>
      </x:c>
      <x:c r="J24" s="4" t="s">
        <x:v>21</x:v>
      </x:c>
      <x:c r="K24" s="2" t="s">
        <x:v>32</x:v>
      </x:c>
      <x:c r="L24" s="2" t="s">
        <x:v>184</x:v>
      </x:c>
      <x:c r="M24" s="2" t="s">
        <x:v>24</x:v>
      </x:c>
    </x:row>
    <x:row r="25" ht="73.5" hidden="0" customHeight="1">
      <x:c r="A25" s="2" t="s">
        <x:v>185</x:v>
      </x:c>
      <x:c r="B25" s="3" t="s">
        <x:v>186</x:v>
      </x:c>
      <x:c r="C25" s="2" t="s">
        <x:v>187</x:v>
      </x:c>
      <x:c r="D25" s="2" t="s">
        <x:v>188</x:v>
      </x:c>
      <x:c r="E25" s="2" t="s">
        <x:v>189</x:v>
      </x:c>
      <x:c r="F25" s="2" t="s">
        <x:v>190</x:v>
      </x:c>
      <x:c r="G25" s="2" t="s">
        <x:v>83</x:v>
      </x:c>
      <x:c r="H25" s="2" t="s">
        <x:v>41</x:v>
      </x:c>
      <x:c r="I25" s="2" t="s">
        <x:v>20</x:v>
      </x:c>
      <x:c r="J25" s="4" t="s">
        <x:v>21</x:v>
      </x:c>
      <x:c r="K25" s="2" t="s">
        <x:v>32</x:v>
      </x:c>
      <x:c r="L25" s="2" t="s">
        <x:v>191</x:v>
      </x:c>
      <x:c r="M25" s="2" t="s">
        <x:v>24</x:v>
      </x:c>
    </x:row>
    <x:row r="26" ht="96" customHeight="1">
      <x:c r="A26" s="19" t="str">
        <x:v>M25</x:v>
      </x:c>
      <x:c r="B26" s="22" t="str">
        <x:v>Chuck Norris Facts</x:v>
      </x:c>
      <x:c r="C26" s="19" t="str">
        <x:v>2005</x:v>
      </x:c>
      <x:c r="D26" s="19" t="str">
        <x:v>Crowd-written text corpus, plus name, likeness, and registered marks</x:v>
      </x:c>
      <x:c r="E26" s="19" t="str">
        <x:v>The Norris estate or authorized successor for name and likeness; Ian Spector and Penguin for the compiled books</x:v>
      </x:c>
      <x:c r="F26" s="19" t="str">
        <x:v>Suit filed 21 December 2007 in the Southern District of New York against Penguin Group, Ian Spector, and Qubefactor, alleging trademark, false-endorsement, privacy/publicity, and related claims. A temporary restraining order to halt sales was denied the same day.</x:v>
      </x:c>
      <x:c r="G26" s="19" t="str">
        <x:v>Verified</x:v>
      </x:c>
      <x:c r="H26" s="19" t="str">
        <x:v>Yes</x:v>
      </x:c>
      <x:c r="I26" s="19" t="str">
        <x:v>No</x:v>
      </x:c>
      <x:c r="J26" s="34" t="str">
        <x:v>D3</x:v>
      </x:c>
      <x:c r="K26" s="19" t="str">
        <x:v>Never pursue</x:v>
      </x:c>
      <x:c r="L26" s="19" t="str">
        <x:v>The most instructive row in the register: this meme has no image, yet litigation still arose over the words, name, and commercial framing. Norris died on 19 March 2026; any name-and-likeness assessment must now account for the estate and jurisdiction-specific post-mortem rules. Sources disagree on whether the fact generator began in 2003 or summer 2005; the museum uses 2005, consistent with ADR 0002.</x:v>
      </x:c>
      <x:c r="M26" s="19" t="str">
        <x:v>https://www.casemine.com/judgement/us/59146b3fadd7b049342f983e
https://apnews.com/article/chuck-norris-dies-b92804d43c6eee0d9e3fb31583d7f877</x:v>
      </x:c>
    </x:row>
    <x:row r="27" ht="96" hidden="0" customHeight="1">
      <x:c r="A27" s="20" t="str">
        <x:v>M26</x:v>
      </x:c>
      <x:c r="B27" s="23" t="str">
        <x:v>Charlie Bit My Finger</x:v>
      </x:c>
      <x:c r="C27" s="21" t="str">
        <x:v>2007</x:v>
      </x:c>
      <x:c r="D27" s="21" t="str">
        <x:v>Home video of two children</x:v>
      </x:c>
      <x:c r="E27" s="21" t="str">
        <x:v>The children's father as author; the two children as subjects</x:v>
      </x:c>
      <x:c r="F27" s="21" t="str">
        <x:v>No litigation found. The original upload was sold at auction in 2021 and briefly removed from its platform as part of that sale.</x:v>
      </x:c>
      <x:c r="G27" s="21" t="str">
        <x:v>Reported, not verified this pass</x:v>
      </x:c>
      <x:c r="H27" s="21" t="str">
        <x:v>Yes</x:v>
      </x:c>
      <x:c r="I27" s="21" t="str">
        <x:v>Yes (both, aged approximately one and three)</x:v>
      </x:c>
      <x:c r="J27" s="35" t="str">
        <x:v>D3</x:v>
      </x:c>
      <x:c r="K27" s="21" t="str">
        <x:v>Never pursue</x:v>
      </x:c>
      <x:c r="L27" s="21" t="str">
        <x:v>The strongest minor-subject case in the collection and the clearest instance where copyright is the lesser problem. Two children were filmed in a domestic setting and have spent their entire lives as a reaction image. The museum's position here is ethical before it is legal, and the wall label should say so rather than citing statute.</x:v>
      </x:c>
      <x:c r="M27" s="21" t="str">
        <x:v>Not verified this pass</x:v>
      </x:c>
    </x:row>
    <x:row r="28" ht="96" customHeight="1">
      <x:c r="A28" s="19" t="str">
        <x:v>M27</x:v>
      </x:c>
      <x:c r="B28" s="22" t="str">
        <x:v>Dancing Baby</x:v>
      </x:c>
      <x:c r="C28" s="19" t="str">
        <x:v>1996</x:v>
      </x:c>
      <x:c r="D28" s="19" t="str">
        <x:v>3D character animation distributed as a software demonstration file</x:v>
      </x:c>
      <x:c r="E28" s="19" t="str">
        <x:v>The animators and the successors to the software publisher</x:v>
      </x:c>
      <x:c r="F28" s="19" t="str">
        <x:v>No litigation found for the animation itself.</x:v>
      </x:c>
      <x:c r="G28" s="19" t="str">
        <x:v>Unverified this pass</x:v>
      </x:c>
      <x:c r="H28" s="19" t="str">
        <x:v>No</x:v>
      </x:c>
      <x:c r="I28" s="19" t="str">
        <x:v>No</x:v>
      </x:c>
      <x:c r="J28" s="36" t="str">
        <x:v>D2</x:v>
      </x:c>
      <x:c r="K28" s="19" t="str">
        <x:v>Never pursue</x:v>
      </x:c>
      <x:c r="L28" s="19" t="str">
        <x:v>Do not conflate this work with the Lenz takedown litigation, which is commonly called the dancing baby case and concerns a different work entirely: a home video of a toddler dancing to a pop record. The specimen predates modern meme-rights case law by a decade, and its chain of title runs through corporate acquisitions rather than an identifiable author.</x:v>
      </x:c>
      <x:c r="M28" s="19" t="str">
        <x:v>Not verified this pass</x:v>
      </x:c>
    </x:row>
    <x:row r="29" ht="96" customHeight="1">
      <x:c r="A29" s="19" t="str">
        <x:v>M28</x:v>
      </x:c>
      <x:c r="B29" s="22" t="str">
        <x:v>LOLCats</x:v>
      </x:c>
      <x:c r="C29" s="19" t="str">
        <x:v>2006</x:v>
      </x:c>
      <x:c r="D29" s="19" t="str">
        <x:v>Genre, not a single work. Many separately owned photographs with added text</x:v>
      </x:c>
      <x:c r="E29" s="19" t="str">
        <x:v>Individual photographers, mostly unidentified; an aggregator network for the platform era</x:v>
      </x:c>
      <x:c r="F29" s="19" t="str">
        <x:v>No litigation found.</x:v>
      </x:c>
      <x:c r="G29" s="19" t="str">
        <x:v>Unverified this pass</x:v>
      </x:c>
      <x:c r="H29" s="19" t="str">
        <x:v>No</x:v>
      </x:c>
      <x:c r="I29" s="19" t="str">
        <x:v>No</x:v>
      </x:c>
      <x:c r="J29" s="34" t="str">
        <x:v>D3</x:v>
      </x:c>
      <x:c r="K29" s="19" t="str">
        <x:v>Never pursue</x:v>
      </x:c>
      <x:c r="L29" s="19" t="str">
        <x:v>A taxon, not a specimen, and the register should say so. There is no single rights holder to approach because there is no single work. The museum can exhibit the genre at taxon level with no image, or split it into named specimens once individual photographs are identified and traced. It is not equivalent to Grumpy Cat, which is one photographed animal with registered marks and a company behind it.</x:v>
      </x:c>
      <x:c r="M29" s="19" t="str">
        <x:v>Not verified this pass</x:v>
      </x:c>
    </x:row>
    <x:row r="30" ht="96" customHeight="1">
      <x:c r="A30" s="19" t="str">
        <x:v>M29</x:v>
      </x:c>
      <x:c r="B30" s="22" t="str">
        <x:v>Harlem Shake</x:v>
      </x:c>
      <x:c r="C30" s="19" t="str">
        <x:v>2013 meme, 2012 recording</x:v>
      </x:c>
      <x:c r="D30" s="19" t="str">
        <x:v>Composite: a commercial recording plus tens of thousands of user videos</x:v>
      </x:c>
      <x:c r="E30" s="19" t="str">
        <x:v>The producer and his label for the recording; two sampled vocalists; the individual uploaders for each video</x:v>
      </x:c>
      <x:c r="F30" s="19" t="str">
        <x:v>The recording reached number one before its samples were cleared. Two artists whose vocals appear in the first thirty seconds publicly stated that they had given no permission and sought compensation from the label in 2013. The label subsequently cleared both samples. The producer separately used copyright to take down a version of the meme he objected to.</x:v>
      </x:c>
      <x:c r="G30" s="19" t="str">
        <x:v>Reported, not verified this pass</x:v>
      </x:c>
      <x:c r="H30" s="19" t="str">
        <x:v>Yes (in the underlying videos)</x:v>
      </x:c>
      <x:c r="I30" s="19" t="str">
        <x:v>No</x:v>
      </x:c>
      <x:c r="J30" s="34" t="str">
        <x:v>D3</x:v>
      </x:c>
      <x:c r="K30" s="19" t="str">
        <x:v>Never pursue</x:v>
      </x:c>
      <x:c r="L30" s="19" t="str">
        <x:v>The best exhibit in the collection on how memes launder provenance. The soundtrack that made tens of thousands of videos possible was itself an uncleared derivative, and the sampled artists learned about it only after the song reached number one. The museum shows no image and tells this story instead.</x:v>
      </x:c>
      <x:c r="M30" s="19" t="str">
        <x:v>https://pitchfork.com/news/49853-two-artists-seek-compensation-from-baauer-mad-decent-over-unlicensed-harlem-shake-samples/</x:v>
      </x:c>
    </x:row>
    <x:row r="32">
      <x:c r="A32" t="s">
        <x:v>192</x:v>
      </x:c>
      <x:c r="B32" t="str">
        <x:v>Compiled 23 August 2026 from public reporting and court records. This is a curatorial working document, not legal advice. Every row graded below Verified needs counsel review before the specimen is displayed. Evidence grade records how the enforcement column was sourced, not how confident anyone is about the outcome.</x:v>
      </x:c>
      <x:c r="C32"/>
      <x:c r="D32"/>
      <x:c r="E32"/>
      <x:c r="F32"/>
      <x:c r="G32"/>
      <x:c r="H32"/>
      <x:c r="I32"/>
      <x:c r="J32"/>
      <x:c r="K32"/>
      <x:c r="L32"/>
      <x:c r="M32"/>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14" hidden="0" customWidth="1"/>
    <x:col min="2" max="2" width="34" hidden="0" customWidth="1"/>
    <x:col min="3" max="3" width="74" hidden="0" customWidth="1"/>
    <x:col min="4" max="4" width="40" hidden="0" customWidth="1"/>
  </x:cols>
  <x:sheetData>
    <x:row r="1" ht="15" hidden="0">
      <x:c r="A1" s="1" t="s">
        <x:v>193</x:v>
      </x:c>
      <x:c r="B1" s="1" t="s">
        <x:v>194</x:v>
      </x:c>
      <x:c r="C1" s="1" t="s">
        <x:v>195</x:v>
      </x:c>
      <x:c r="D1" s="1" t="s">
        <x:v>196</x:v>
      </x:c>
    </x:row>
    <x:row r="2" ht="60" hidden="0" customHeight="1">
      <x:c r="A2" s="9" t="s">
        <x:v>165</x:v>
      </x:c>
      <x:c r="B2" s="2" t="s">
        <x:v>197</x:v>
      </x:c>
      <x:c r="C2" s="2" t="s">
        <x:v>198</x:v>
      </x:c>
      <x:c r="D2" s="2" t="s">
        <x:v>199</x:v>
      </x:c>
    </x:row>
    <x:row r="3" ht="60" hidden="0" customHeight="1">
      <x:c r="A3" s="10" t="s">
        <x:v>21</x:v>
      </x:c>
      <x:c r="B3" s="2" t="s">
        <x:v>200</x:v>
      </x:c>
      <x:c r="C3" s="2" t="s">
        <x:v>201</x:v>
      </x:c>
      <x:c r="D3" s="2" t="s">
        <x:v>202</x:v>
      </x:c>
    </x:row>
    <x:row r="4" ht="60" hidden="0" customHeight="1">
      <x:c r="A4" s="11" t="s">
        <x:v>51</x:v>
      </x:c>
      <x:c r="B4" s="2" t="s">
        <x:v>203</x:v>
      </x:c>
      <x:c r="C4" s="2" t="s">
        <x:v>204</x:v>
      </x:c>
      <x:c r="D4" s="2" t="s">
        <x:v>205</x:v>
      </x:c>
    </x:row>
    <x:row r="5" ht="60" hidden="0" customHeight="1">
      <x:c r="A5" s="3"/>
      <x:c r="B5" s="2"/>
      <x:c r="C5" s="2"/>
      <x:c r="D5" s="2"/>
    </x:row>
    <x:row r="6" ht="60" hidden="0" customHeight="1">
      <x:c r="A6" s="3" t="s">
        <x:v>206</x:v>
      </x:c>
      <x:c r="B6" s="2" t="s">
        <x:v>207</x:v>
      </x:c>
      <x:c r="C6" s="2" t="s">
        <x:v>208</x:v>
      </x:c>
      <x:c r="D6" s="2" t="s">
        <x:v>209</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40" hidden="0" customWidth="1"/>
    <x:col min="2" max="2" width="14" hidden="0" customWidth="1"/>
    <x:col min="3" max="3" width="12" hidden="0" customWidth="1"/>
  </x:cols>
  <x:sheetData>
    <x:row r="1" ht="15" hidden="0">
      <x:c r="A1" s="12" t="s">
        <x:v>210</x:v>
      </x:c>
    </x:row>
    <x:row r="3" ht="15" hidden="0">
      <x:c r="A3" s="13" t="s">
        <x:v>9</x:v>
      </x:c>
      <x:c r="B3" s="13" t="s">
        <x:v>211</x:v>
      </x:c>
      <x:c r="C3" s="13" t="s">
        <x:v>212</x:v>
      </x:c>
    </x:row>
    <x:row r="4" ht="15" hidden="0">
      <x:c r="A4" s="14" t="s">
        <x:v>213</x:v>
      </x:c>
      <x:c r="B4" s="14" t="n">
        <x:f aca="0">COUNTIF(Register!$J$2:$J$30,"D1")</x:f>
        <x:v>3</x:v>
      </x:c>
      <x:c r="C4" s="15" t="n">
        <x:f aca="0">IFERROR(B4/$B$7,0)</x:f>
        <x:v>0.10344827586206896</x:v>
      </x:c>
    </x:row>
    <x:row r="5" ht="15" hidden="0">
      <x:c r="A5" s="14" t="s">
        <x:v>214</x:v>
      </x:c>
      <x:c r="B5" s="14" t="n">
        <x:f aca="0">COUNTIF(Register!$J$2:$J$30,"D2")</x:f>
        <x:v>15</x:v>
      </x:c>
      <x:c r="C5" s="15" t="n">
        <x:f aca="0">IFERROR(B5/$B$7,0)</x:f>
        <x:v>0.5172413793103449</x:v>
      </x:c>
    </x:row>
    <x:row r="6" ht="15" hidden="0">
      <x:c r="A6" s="14" t="s">
        <x:v>215</x:v>
      </x:c>
      <x:c r="B6" s="14" t="n">
        <x:f aca="0">COUNTIF(Register!$J$2:$J$30,"D3")</x:f>
        <x:v>11</x:v>
      </x:c>
      <x:c r="C6" s="15" t="n">
        <x:f aca="0">IFERROR(B6/$B$7,0)</x:f>
        <x:v>0.3793103448275862</x:v>
      </x:c>
    </x:row>
    <x:row r="7" ht="15" hidden="0">
      <x:c r="A7" s="16" t="s">
        <x:v>216</x:v>
      </x:c>
      <x:c r="B7" s="16" t="n">
        <x:f aca="0">COUNTA(Register!$A$2:$A$30)</x:f>
        <x:v>29</x:v>
      </x:c>
      <x:c r="C7" s="15" t="n">
        <x:f aca="0">IFERROR(B7/$B$7,0)</x:f>
        <x:v>1</x:v>
      </x:c>
    </x:row>
    <x:row r="9" ht="15" hidden="0">
      <x:c r="A9" s="17" t="s">
        <x:v>6</x:v>
      </x:c>
      <x:c r="B9" s="17" t="s">
        <x:v>211</x:v>
      </x:c>
    </x:row>
    <x:row r="10" ht="15" hidden="0">
      <x:c r="A10" s="14" t="s">
        <x:v>31</x:v>
      </x:c>
      <x:c r="B10" s="14" t="n">
        <x:f aca="0">COUNTIF(Register!$G$2:$G$30,"Verified")</x:f>
        <x:v>6</x:v>
      </x:c>
    </x:row>
    <x:row r="11" ht="15" hidden="0">
      <x:c r="A11" s="14" t="s">
        <x:v>83</x:v>
      </x:c>
      <x:c r="B11" s="14" t="n">
        <x:f aca="0">COUNTIF(Register!$G$2:$G$30,"Reported, not verified this pass")</x:f>
        <x:v>15</x:v>
      </x:c>
    </x:row>
    <x:row r="12" ht="15" hidden="0">
      <x:c r="A12" s="14" t="s">
        <x:v>19</x:v>
      </x:c>
      <x:c r="B12" s="14" t="n">
        <x:f aca="0">COUNTIF(Register!$G$2:$G$30,"Unverified this pass")</x:f>
        <x:v>8</x:v>
      </x:c>
    </x:row>
    <x:row r="14" ht="15" hidden="0">
      <x:c r="A14" s="14" t="s">
        <x:v>217</x:v>
      </x:c>
      <x:c r="B14" s="14" t="n">
        <x:f aca="0">COUNTIF(Register!$H$2:$H$30,"&lt;&gt;No")</x:f>
        <x:v>15</x:v>
      </x:c>
    </x:row>
    <x:row r="15" ht="15" hidden="0">
      <x:c r="A15" s="14" t="s">
        <x:v>218</x:v>
      </x:c>
      <x:c r="B15" s="14" t="n">
        <x:f aca="0">COUNTIF(Register!$I$2:$I$30,"&lt;&gt;No")</x:f>
        <x:v>5</x:v>
      </x:c>
    </x:row>
    <x:row r="16" ht="15" hidden="0">
      <x:c r="A16" s="14" t="s">
        <x:v>219</x:v>
      </x:c>
      <x:c r="B16" s="14" t="n">
        <x:f aca="0">COUNTIF(Register!$K$2:$K$30,"Never pursue")</x:f>
        <x:v>21</x:v>
      </x:c>
    </x:row>
    <x:row r="18" ht="39.75" hidden="0" customHeight="1">
      <x:c r="A18" s="18" t="str">
        <x:v>Note: counts read live from the Register sheet. Extend the formulas when the register grows beyond M29.</x:v>
      </x:c>
      <x:c r="B18" s="18"/>
      <x:c r="C18" s="18"/>
    </x:row>
  </x:sheetData>
  <x:mergeCells>
    <x:mergeCell ref="A18:C18"/>
  </x:mergeCells>
  <x:pageMargins left="0.7" right="0.7" top="0.75" bottom="0.75" header="0.3" footer="0.3"/>
</x:worksheet>
</file>